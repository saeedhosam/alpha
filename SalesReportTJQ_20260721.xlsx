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58BF1856-7778-4D70-825B-9EEB0BD826B6}" xr6:coauthVersionLast="47" xr6:coauthVersionMax="47" xr10:uidLastSave="{00000000-0000-0000-0000-000000000000}"/>
  <bookViews>
    <workbookView xWindow="14325" yWindow="675" windowWidth="14505" windowHeight="14835" xr2:uid="{00000000-000D-0000-FFFF-FFFF00000000}"/>
  </bookViews>
  <sheets>
    <sheet name="CAIEG35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1" l="1"/>
  <c r="F7" i="1"/>
  <c r="F6" i="1"/>
</calcChain>
</file>

<file path=xl/sharedStrings.xml><?xml version="1.0" encoding="utf-8"?>
<sst xmlns="http://schemas.openxmlformats.org/spreadsheetml/2006/main" count="65" uniqueCount="49">
  <si>
    <t>Agy no</t>
  </si>
  <si>
    <t>90202092</t>
  </si>
  <si>
    <t/>
  </si>
  <si>
    <t>Report date range</t>
  </si>
  <si>
    <t>20JUL</t>
  </si>
  <si>
    <t>Currency</t>
  </si>
  <si>
    <t>EGP</t>
  </si>
  <si>
    <t>Office</t>
  </si>
  <si>
    <t>CAIEG3513</t>
  </si>
  <si>
    <t>Agent</t>
  </si>
  <si>
    <t>ALL</t>
  </si>
  <si>
    <t>Current date</t>
  </si>
  <si>
    <t>21-JUL-2026</t>
  </si>
  <si>
    <t>Selection</t>
  </si>
  <si>
    <t>SEQ NO</t>
  </si>
  <si>
    <t>CONFIRMED</t>
  </si>
  <si>
    <t>A/L</t>
  </si>
  <si>
    <t>DOC NUMBER</t>
  </si>
  <si>
    <t>TOTAL DOC</t>
  </si>
  <si>
    <t>TAX</t>
  </si>
  <si>
    <t>FEE</t>
  </si>
  <si>
    <t>COMM</t>
  </si>
  <si>
    <t>AGENT</t>
  </si>
  <si>
    <t>FP</t>
  </si>
  <si>
    <t>PAX NAME</t>
  </si>
  <si>
    <t>AS</t>
  </si>
  <si>
    <t>RLOC</t>
  </si>
  <si>
    <t>TRNC</t>
  </si>
  <si>
    <t>REPORT IND</t>
  </si>
  <si>
    <t>NDC</t>
  </si>
  <si>
    <t>012579</t>
  </si>
  <si>
    <t>*</t>
  </si>
  <si>
    <t>077</t>
  </si>
  <si>
    <t>6908236403</t>
  </si>
  <si>
    <t>CA</t>
  </si>
  <si>
    <t>METWALLY/REHAM MS</t>
  </si>
  <si>
    <t>2458AE</t>
  </si>
  <si>
    <t>89UPK4</t>
  </si>
  <si>
    <t>TKTT</t>
  </si>
  <si>
    <t>No</t>
  </si>
  <si>
    <t>012580</t>
  </si>
  <si>
    <t>220</t>
  </si>
  <si>
    <t>6908236404</t>
  </si>
  <si>
    <t>KORESSA/NESRINE MRS</t>
  </si>
  <si>
    <t>6679AS</t>
  </si>
  <si>
    <t>8COSFX</t>
  </si>
  <si>
    <t>012581</t>
  </si>
  <si>
    <t>6908236405</t>
  </si>
  <si>
    <t>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</si>
</sst>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B8" sqref="B8"/>
    </sheetView>
  </sheetViews>
  <sheetFormatPr defaultRowHeight="15" x14ac:dyDescent="0.25"/>
  <cols>
    <col min="1" max="3" width="12" customWidth="1"/>
    <col min="4" max="4" width="19" customWidth="1"/>
    <col min="5" max="6" width="13" style="1" customWidth="1"/>
    <col min="7" max="10" width="12" style="1" customWidth="1"/>
    <col min="11" max="11" width="12" customWidth="1"/>
    <col min="12" max="12" width="22.140625" bestFit="1" customWidth="1"/>
    <col min="13" max="17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G1" s="1" t="s">
        <v>2</v>
      </c>
      <c r="H1" s="1" t="s">
        <v>5</v>
      </c>
      <c r="I1" s="1" t="s">
        <v>6</v>
      </c>
    </row>
    <row r="2" spans="1:17" x14ac:dyDescent="0.25">
      <c r="A2" t="s">
        <v>7</v>
      </c>
      <c r="B2" t="s">
        <v>8</v>
      </c>
    </row>
    <row r="3" spans="1:17" x14ac:dyDescent="0.25">
      <c r="A3" t="s">
        <v>9</v>
      </c>
      <c r="B3" t="s">
        <v>10</v>
      </c>
      <c r="C3" t="s">
        <v>2</v>
      </c>
      <c r="D3" t="s">
        <v>11</v>
      </c>
      <c r="E3" s="1" t="s">
        <v>12</v>
      </c>
      <c r="G3" s="1" t="s">
        <v>2</v>
      </c>
      <c r="H3" s="1" t="s">
        <v>13</v>
      </c>
      <c r="I3" s="1" t="s">
        <v>2</v>
      </c>
    </row>
    <row r="5" spans="1:17" x14ac:dyDescent="0.25">
      <c r="A5" s="2" t="s">
        <v>14</v>
      </c>
      <c r="B5" s="2" t="s">
        <v>15</v>
      </c>
      <c r="C5" s="2" t="s">
        <v>16</v>
      </c>
      <c r="D5" s="2" t="s">
        <v>17</v>
      </c>
      <c r="E5" s="3" t="s">
        <v>18</v>
      </c>
      <c r="F5" s="3" t="s">
        <v>48</v>
      </c>
      <c r="G5" s="3" t="s">
        <v>19</v>
      </c>
      <c r="H5" s="3" t="s">
        <v>20</v>
      </c>
      <c r="I5" s="3" t="s">
        <v>21</v>
      </c>
      <c r="J5" s="3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27</v>
      </c>
      <c r="P5" s="2" t="s">
        <v>28</v>
      </c>
      <c r="Q5" s="2" t="s">
        <v>29</v>
      </c>
    </row>
    <row r="6" spans="1:17" x14ac:dyDescent="0.25">
      <c r="A6" t="s">
        <v>30</v>
      </c>
      <c r="B6" t="s">
        <v>31</v>
      </c>
      <c r="C6" t="s">
        <v>32</v>
      </c>
      <c r="D6" t="s">
        <v>33</v>
      </c>
      <c r="E6" s="1">
        <v>18107</v>
      </c>
      <c r="F6" s="1">
        <f>E6-G6</f>
        <v>5423</v>
      </c>
      <c r="G6" s="1">
        <v>12684</v>
      </c>
      <c r="H6" s="1">
        <v>0</v>
      </c>
      <c r="I6" s="1">
        <v>0</v>
      </c>
      <c r="J6" s="1">
        <v>0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Q6" t="s">
        <v>39</v>
      </c>
    </row>
    <row r="7" spans="1:17" x14ac:dyDescent="0.25">
      <c r="A7" t="s">
        <v>40</v>
      </c>
      <c r="B7" t="s">
        <v>31</v>
      </c>
      <c r="C7" t="s">
        <v>41</v>
      </c>
      <c r="D7" t="s">
        <v>42</v>
      </c>
      <c r="E7" s="1">
        <v>31310.799999999999</v>
      </c>
      <c r="F7" s="1">
        <f>E7-G7</f>
        <v>23378</v>
      </c>
      <c r="G7" s="1">
        <v>7932.8</v>
      </c>
      <c r="H7" s="1">
        <v>0</v>
      </c>
      <c r="I7" s="1">
        <v>0</v>
      </c>
      <c r="J7" s="1">
        <v>0</v>
      </c>
      <c r="K7" t="s">
        <v>34</v>
      </c>
      <c r="L7" t="s">
        <v>43</v>
      </c>
      <c r="M7" t="s">
        <v>44</v>
      </c>
      <c r="N7" t="s">
        <v>45</v>
      </c>
      <c r="O7" t="s">
        <v>38</v>
      </c>
      <c r="Q7" t="s">
        <v>39</v>
      </c>
    </row>
    <row r="8" spans="1:17" x14ac:dyDescent="0.25">
      <c r="A8" t="s">
        <v>46</v>
      </c>
      <c r="B8" t="s">
        <v>31</v>
      </c>
      <c r="C8" t="s">
        <v>32</v>
      </c>
      <c r="D8" t="s">
        <v>47</v>
      </c>
      <c r="E8" s="1">
        <v>27847</v>
      </c>
      <c r="F8" s="1">
        <f>E8-G8</f>
        <v>16985</v>
      </c>
      <c r="G8" s="1">
        <v>10862</v>
      </c>
      <c r="H8" s="1">
        <v>0</v>
      </c>
      <c r="I8" s="1">
        <v>0</v>
      </c>
      <c r="J8" s="1">
        <v>0</v>
      </c>
      <c r="K8" t="s">
        <v>34</v>
      </c>
      <c r="L8" t="s">
        <v>43</v>
      </c>
      <c r="M8" t="s">
        <v>44</v>
      </c>
      <c r="N8" t="s">
        <v>45</v>
      </c>
      <c r="O8" t="s">
        <v>38</v>
      </c>
      <c r="Q8" t="s">
        <v>39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CAIEG3513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2026-07-21T06:18:12Z</dcterms:created>
  <dcterms:modified xsi:type="dcterms:W3CDTF">2026-07-21T06:37:12Z</dcterms:modified>
  <cp:category/>
</cp:coreProperties>
</file>